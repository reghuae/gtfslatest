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BaseData22Jul" sheetId="2" state="visible" r:id="rId2"/>
    <sheet name="Mode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9"/>
    </font>
    <font>
      <name val="Arial"/>
      <b val="1"/>
    </font>
    <font>
      <name val="Arial"/>
    </font>
    <font>
      <name val="Arial"/>
      <color rgb="000000FF"/>
    </font>
    <font>
      <name val="Arial"/>
      <color rgb="00666666"/>
      <sz val="9"/>
    </font>
    <font>
      <name val="Arial"/>
      <color rgb="00008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/>
    </xf>
    <xf numFmtId="0" fontId="5" fillId="3" borderId="1" applyAlignment="1" pivotButton="0" quotePrefix="0" xfId="0">
      <alignment vertical="top"/>
    </xf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0" fillId="0" borderId="1" pivotButton="0" quotePrefix="0" xfId="0"/>
    <xf numFmtId="0" fontId="6" fillId="0" borderId="0" pivotButton="0" quotePrefix="0" xfId="0"/>
    <xf numFmtId="0" fontId="4" fillId="0" borderId="0" pivotButton="0" quotePrefix="0" xfId="0"/>
    <xf numFmtId="3" fontId="7" fillId="0" borderId="0" pivotButton="0" quotePrefix="0" xfId="0"/>
    <xf numFmtId="165" fontId="7" fillId="0" borderId="0" pivotButton="0" quotePrefix="0" xfId="0"/>
    <xf numFmtId="0" fontId="3" fillId="0" borderId="0" pivotButton="0" quotePrefix="0" xfId="0"/>
    <xf numFmtId="0" fontId="5" fillId="0" borderId="1" pivotButton="0" quotePrefix="0" xfId="0"/>
    <xf numFmtId="10" fontId="5" fillId="0" borderId="1" pivotButton="0" quotePrefix="0" xfId="0"/>
    <xf numFmtId="3" fontId="4" fillId="0" borderId="1" pivotButton="0" quotePrefix="0" xfId="0"/>
    <xf numFmtId="2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64" customWidth="1" min="3" max="3"/>
  </cols>
  <sheetData>
    <row r="1">
      <c r="A1" s="1" t="inlineStr">
        <is>
          <t>Illegal Parking at Bus Stops - OTP Impact Model</t>
        </is>
      </c>
    </row>
    <row r="2">
      <c r="A2" s="2" t="inlineStr">
        <is>
          <t>Blue cells = inputs you can change. Yellow = key assumptions. All results recalculate.</t>
        </is>
      </c>
    </row>
    <row r="4">
      <c r="A4" s="3" t="inlineStr">
        <is>
          <t>Parameter</t>
        </is>
      </c>
      <c r="B4" s="3" t="inlineStr">
        <is>
          <t>Value</t>
        </is>
      </c>
      <c r="C4" s="3" t="inlineStr">
        <is>
          <t>Note / source</t>
        </is>
      </c>
    </row>
    <row r="5">
      <c r="A5" s="4" t="inlineStr">
        <is>
          <t>Observed blocked-layby cases, AM peak 07:00-10:00 (60 = field survey, 11 locations, one day)</t>
        </is>
      </c>
      <c r="B5" s="5" t="n">
        <v>60</v>
      </c>
      <c r="C5" s="6" t="inlineStr">
        <is>
          <t>Source: field survey table, one day, 11 locations</t>
        </is>
      </c>
    </row>
    <row r="6">
      <c r="A6" s="4" t="inlineStr">
        <is>
          <t>Bus arrivals at the 11 locations, AM peak (from AVL 22 Jul 2026)</t>
        </is>
      </c>
      <c r="B6" s="5" t="n">
        <v>1254</v>
      </c>
      <c r="C6" s="6" t="inlineStr">
        <is>
          <t>Source: analysis/runtime_analysis.py -&gt; locations.csv</t>
        </is>
      </c>
    </row>
    <row r="7">
      <c r="A7" s="4" t="inlineStr">
        <is>
          <t>Bus arrivals at the 11 locations, PM peak 17:00-20:00 (AVL)</t>
        </is>
      </c>
      <c r="B7" s="5" t="n">
        <v>1147</v>
      </c>
      <c r="C7" s="6" t="inlineStr">
        <is>
          <t>Same source</t>
        </is>
      </c>
    </row>
    <row r="8">
      <c r="A8" s="4" t="inlineStr">
        <is>
          <t>PM/AM case intensity factor</t>
        </is>
      </c>
      <c r="B8" s="7">
        <f>B7/B6</f>
        <v/>
      </c>
      <c r="C8" s="6" t="inlineStr">
        <is>
          <t>Default = PM/AM bus exposure ratio; override with a number if surveyed</t>
        </is>
      </c>
    </row>
    <row r="9">
      <c r="A9" s="4" t="inlineStr">
        <is>
          <t>Average delay per obstructed arrival (seconds)</t>
        </is>
      </c>
      <c r="B9" s="8" t="n">
        <v>30</v>
      </c>
      <c r="C9" s="6" t="inlineStr">
        <is>
          <t>Operations estimate (user-provided). Scenarios 15/60/90 s on Model sheet</t>
        </is>
      </c>
    </row>
    <row r="10">
      <c r="A10" s="4" t="inlineStr">
        <is>
          <t>Operating days per year</t>
        </is>
      </c>
      <c r="B10" s="8" t="n">
        <v>261</v>
      </c>
      <c r="C10" s="6" t="inlineStr">
        <is>
          <t>Working days (Mon-Fri). Low 250 / High 305 - see Model sheet</t>
        </is>
      </c>
    </row>
    <row r="11">
      <c r="A11" s="4" t="inlineStr">
        <is>
          <t>Peak trips/day serving the 11 locations (AVL)</t>
        </is>
      </c>
      <c r="B11" s="5" t="n">
        <v>1042</v>
      </c>
      <c r="C11" s="6" t="inlineStr">
        <is>
          <t>Trips with a peak stop event at the 11 locations, 22 Jul 2026</t>
        </is>
      </c>
    </row>
    <row r="12">
      <c r="A12" s="4" t="inlineStr">
        <is>
          <t>Total trips/day, all 38 affected routes (AVL)</t>
        </is>
      </c>
      <c r="B12" s="5" t="n">
        <v>2999</v>
      </c>
      <c r="C12" s="6" t="inlineStr">
        <is>
          <t>22 Jul 2026 AVL</t>
        </is>
      </c>
    </row>
    <row r="13">
      <c r="A13" s="4" t="inlineStr">
        <is>
          <t>OTP window: early threshold (seconds)</t>
        </is>
      </c>
      <c r="B13" s="5" t="n">
        <v>-60</v>
      </c>
      <c r="C13" s="6" t="inlineStr">
        <is>
          <t>RTA rule: more than 1 min early = early</t>
        </is>
      </c>
    </row>
    <row r="14">
      <c r="A14" s="4" t="inlineStr">
        <is>
          <t>OTP window: late threshold (seconds)</t>
        </is>
      </c>
      <c r="B14" s="5" t="n">
        <v>300</v>
      </c>
      <c r="C14" s="6" t="inlineStr">
        <is>
          <t>RTA rule: more than 5 min late = late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Field survey (one day, 07:00-10:00) x AVL exposure (22 Jul 2026)</t>
        </is>
      </c>
    </row>
    <row r="3">
      <c r="A3" s="9" t="inlineStr">
        <is>
          <t>Location</t>
        </is>
      </c>
      <c r="B3" s="9" t="inlineStr">
        <is>
          <t>Cases AM (3h)</t>
        </is>
      </c>
      <c r="C3" s="9" t="inlineStr">
        <is>
          <t>Buses AM peak</t>
        </is>
      </c>
      <c r="D3" s="9" t="inlineStr">
        <is>
          <t>Buses PM peak</t>
        </is>
      </c>
      <c r="E3" s="9" t="inlineStr">
        <is>
          <t>Buses/day</t>
        </is>
      </c>
      <c r="F3" s="9" t="inlineStr">
        <is>
          <t>Cases per 100 AM buses</t>
        </is>
      </c>
      <c r="G3" s="9" t="inlineStr">
        <is>
          <t>OTP at stop (day)</t>
        </is>
      </c>
    </row>
    <row r="4">
      <c r="A4" s="10" t="inlineStr">
        <is>
          <t>Naif Intersection</t>
        </is>
      </c>
      <c r="B4" s="10" t="n">
        <v>5</v>
      </c>
      <c r="C4" s="10" t="n">
        <v>195</v>
      </c>
      <c r="D4" s="10" t="n">
        <v>168</v>
      </c>
      <c r="E4" s="10" t="n">
        <v>1086</v>
      </c>
      <c r="F4" s="11">
        <f>100*B4/C4</f>
        <v/>
      </c>
      <c r="G4" s="12" t="n">
        <v>0.827</v>
      </c>
    </row>
    <row r="5">
      <c r="A5" s="10" t="inlineStr">
        <is>
          <t>Burj Nahar</t>
        </is>
      </c>
      <c r="B5" s="10" t="n">
        <v>5</v>
      </c>
      <c r="C5" s="10" t="n">
        <v>195</v>
      </c>
      <c r="D5" s="10" t="n">
        <v>169</v>
      </c>
      <c r="E5" s="10" t="n">
        <v>1087</v>
      </c>
      <c r="F5" s="11">
        <f>100*B5/C5</f>
        <v/>
      </c>
      <c r="G5" s="12" t="n">
        <v>0.845</v>
      </c>
    </row>
    <row r="6">
      <c r="A6" s="10" t="inlineStr">
        <is>
          <t>Al Jafliya</t>
        </is>
      </c>
      <c r="B6" s="10" t="n">
        <v>6</v>
      </c>
      <c r="C6" s="10" t="n">
        <v>45</v>
      </c>
      <c r="D6" s="10" t="n">
        <v>33</v>
      </c>
      <c r="E6" s="10" t="n">
        <v>220</v>
      </c>
      <c r="F6" s="11">
        <f>100*B6/C6</f>
        <v/>
      </c>
      <c r="G6" s="12" t="n">
        <v>0.9360000000000001</v>
      </c>
    </row>
    <row r="7">
      <c r="A7" s="10" t="inlineStr">
        <is>
          <t>Emirates Tower</t>
        </is>
      </c>
      <c r="B7" s="10" t="n">
        <v>3</v>
      </c>
      <c r="C7" s="10" t="n">
        <v>48</v>
      </c>
      <c r="D7" s="10" t="n">
        <v>40</v>
      </c>
      <c r="E7" s="10" t="n">
        <v>265</v>
      </c>
      <c r="F7" s="11">
        <f>100*B7/C7</f>
        <v/>
      </c>
      <c r="G7" s="12" t="n">
        <v>0.916</v>
      </c>
    </row>
    <row r="8">
      <c r="A8" s="10" t="inlineStr">
        <is>
          <t>Al Khail Mall</t>
        </is>
      </c>
      <c r="B8" s="10" t="n">
        <v>2</v>
      </c>
      <c r="C8" s="10" t="n">
        <v>211</v>
      </c>
      <c r="D8" s="10" t="n">
        <v>204</v>
      </c>
      <c r="E8" s="10" t="n">
        <v>1127</v>
      </c>
      <c r="F8" s="11">
        <f>100*B8/C8</f>
        <v/>
      </c>
      <c r="G8" s="12" t="n">
        <v>0.9330000000000001</v>
      </c>
    </row>
    <row r="9">
      <c r="A9" s="10" t="inlineStr">
        <is>
          <t>Al Hana Center</t>
        </is>
      </c>
      <c r="B9" s="10" t="n">
        <v>5</v>
      </c>
      <c r="C9" s="10" t="n">
        <v>128</v>
      </c>
      <c r="D9" s="10" t="n">
        <v>113</v>
      </c>
      <c r="E9" s="10" t="n">
        <v>716</v>
      </c>
      <c r="F9" s="11">
        <f>100*B9/C9</f>
        <v/>
      </c>
      <c r="G9" s="12" t="n">
        <v>0.919</v>
      </c>
    </row>
    <row r="10">
      <c r="A10" s="10" t="inlineStr">
        <is>
          <t>Burjuman</t>
        </is>
      </c>
      <c r="B10" s="10" t="n">
        <v>7</v>
      </c>
      <c r="C10" s="10" t="n">
        <v>77</v>
      </c>
      <c r="D10" s="10" t="n">
        <v>78</v>
      </c>
      <c r="E10" s="10" t="n">
        <v>438</v>
      </c>
      <c r="F10" s="11">
        <f>100*B10/C10</f>
        <v/>
      </c>
      <c r="G10" s="12" t="n">
        <v>0.902</v>
      </c>
    </row>
    <row r="11">
      <c r="A11" s="10" t="inlineStr">
        <is>
          <t>Sharaf DG Metro</t>
        </is>
      </c>
      <c r="B11" s="10" t="n">
        <v>8</v>
      </c>
      <c r="C11" s="10" t="n">
        <v>179</v>
      </c>
      <c r="D11" s="10" t="n">
        <v>178</v>
      </c>
      <c r="E11" s="10" t="n">
        <v>1031</v>
      </c>
      <c r="F11" s="11">
        <f>100*B11/C11</f>
        <v/>
      </c>
      <c r="G11" s="12" t="n">
        <v>0.787</v>
      </c>
    </row>
    <row r="12">
      <c r="A12" s="10" t="inlineStr">
        <is>
          <t>Al Rigga Metro</t>
        </is>
      </c>
      <c r="B12" s="10" t="n">
        <v>5</v>
      </c>
      <c r="C12" s="10" t="n">
        <v>31</v>
      </c>
      <c r="D12" s="10" t="n">
        <v>26</v>
      </c>
      <c r="E12" s="10" t="n">
        <v>176</v>
      </c>
      <c r="F12" s="11">
        <f>100*B12/C12</f>
        <v/>
      </c>
      <c r="G12" s="12" t="n">
        <v>0.835</v>
      </c>
    </row>
    <row r="13">
      <c r="A13" s="10" t="inlineStr">
        <is>
          <t>Salah Al Din Metro</t>
        </is>
      </c>
      <c r="B13" s="10" t="n">
        <v>4</v>
      </c>
      <c r="C13" s="10" t="n">
        <v>43</v>
      </c>
      <c r="D13" s="10" t="n">
        <v>37</v>
      </c>
      <c r="E13" s="10" t="n">
        <v>236</v>
      </c>
      <c r="F13" s="11">
        <f>100*B13/C13</f>
        <v/>
      </c>
      <c r="G13" s="12" t="n">
        <v>0.915</v>
      </c>
    </row>
    <row r="14">
      <c r="A14" s="10" t="inlineStr">
        <is>
          <t>Business Bay</t>
        </is>
      </c>
      <c r="B14" s="10" t="n">
        <v>10</v>
      </c>
      <c r="C14" s="10" t="n">
        <v>102</v>
      </c>
      <c r="D14" s="10" t="n">
        <v>101</v>
      </c>
      <c r="E14" s="10" t="n">
        <v>455</v>
      </c>
      <c r="F14" s="11">
        <f>100*B14/C14</f>
        <v/>
      </c>
      <c r="G14" s="12" t="n">
        <v>0.9389999999999999</v>
      </c>
    </row>
    <row r="15">
      <c r="A15" s="13" t="inlineStr">
        <is>
          <t>TOTAL</t>
        </is>
      </c>
      <c r="B15" s="13">
        <f>SUM(B4:B14)</f>
        <v/>
      </c>
      <c r="C15" s="13">
        <f>SUM(C4:C14)</f>
        <v/>
      </c>
      <c r="D15" s="13">
        <f>SUM(D4:D14)</f>
        <v/>
      </c>
      <c r="E15" s="13">
        <f>SUM(E4:E14)</f>
        <v/>
      </c>
      <c r="F15" s="14">
        <f>100*B15/C15</f>
        <v/>
      </c>
      <c r="G15" s="15" t="n"/>
    </row>
    <row r="17">
      <c r="A17" s="16" t="inlineStr">
        <is>
          <t>Source: field survey (cases); data/Runtime_2026-07-22.xlsx via analysis/runtime_analysis.py (all other columns).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5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Annual extrapolation &amp; OTP impact (11 surveyed locations only)</t>
        </is>
      </c>
    </row>
    <row r="4">
      <c r="A4" s="17" t="inlineStr">
        <is>
          <t>Cases per day - AM peak</t>
        </is>
      </c>
      <c r="B4" s="18">
        <f>Assumptions!B5</f>
        <v/>
      </c>
    </row>
    <row r="5">
      <c r="A5" s="17" t="inlineStr">
        <is>
          <t>Cases per day - PM peak (AM x PM factor)</t>
        </is>
      </c>
      <c r="B5" s="18">
        <f>Assumptions!B5*Assumptions!B8</f>
        <v/>
      </c>
    </row>
    <row r="6">
      <c r="A6" s="17" t="inlineStr">
        <is>
          <t>Cases per day - both peaks</t>
        </is>
      </c>
      <c r="B6" s="18">
        <f>B4+B5</f>
        <v/>
      </c>
    </row>
    <row r="7">
      <c r="A7" s="17" t="inlineStr">
        <is>
          <t>Annual blocked-layby cases</t>
        </is>
      </c>
      <c r="B7" s="18">
        <f>B6*Assumptions!B10</f>
        <v/>
      </c>
    </row>
    <row r="8">
      <c r="A8" s="17" t="inlineStr">
        <is>
          <t>Share of AM-peak arrivals obstructed</t>
        </is>
      </c>
      <c r="B8" s="19">
        <f>Assumptions!B5/Assumptions!B6</f>
        <v/>
      </c>
    </row>
    <row r="9">
      <c r="A9" s="17" t="inlineStr">
        <is>
          <t>Annual direct bus delay (hours)</t>
        </is>
      </c>
      <c r="B9" s="18">
        <f>B7*Assumptions!B9/3600</f>
        <v/>
      </c>
    </row>
    <row r="10">
      <c r="A10" s="17" t="inlineStr">
        <is>
          <t>Annual peak trips serving the 11 locations</t>
        </is>
      </c>
      <c r="B10" s="18">
        <f>Assumptions!B11*Assumptions!B10</f>
        <v/>
      </c>
    </row>
    <row r="11">
      <c r="A11" s="17" t="inlineStr">
        <is>
          <t>Annual trips, all 38 routes (365 d service)</t>
        </is>
      </c>
      <c r="B11" s="18">
        <f>Assumptions!B12*365</f>
        <v/>
      </c>
    </row>
    <row r="13">
      <c r="A13" s="20" t="inlineStr">
        <is>
          <t>Delay scenarios</t>
        </is>
      </c>
    </row>
    <row r="14">
      <c r="A14" s="9" t="inlineStr">
        <is>
          <t>Delay per case (s)</t>
        </is>
      </c>
      <c r="B14" s="9" t="inlineStr">
        <is>
          <t>P(trip flips late)</t>
        </is>
      </c>
      <c r="C14" s="9" t="inlineStr">
        <is>
          <t>Extra late trips/yr</t>
        </is>
      </c>
      <c r="D14" s="9" t="inlineStr">
        <is>
          <t>dOTP affected peak trips (pp)</t>
        </is>
      </c>
      <c r="E14" s="9" t="inlineStr">
        <is>
          <t>dOTP all 38 routes (pp)</t>
        </is>
      </c>
    </row>
    <row r="15">
      <c r="A15" s="21" t="n">
        <v>15</v>
      </c>
      <c r="B15" s="22" t="n">
        <v>0.0144</v>
      </c>
      <c r="C15" s="23">
        <f>$B$7*B15</f>
        <v/>
      </c>
      <c r="D15" s="24">
        <f>100*C15/$B$10</f>
        <v/>
      </c>
      <c r="E15" s="24">
        <f>100*C15/$B$11</f>
        <v/>
      </c>
    </row>
    <row r="16">
      <c r="A16" s="21" t="n">
        <v>30</v>
      </c>
      <c r="B16" s="22" t="n">
        <v>0.0259</v>
      </c>
      <c r="C16" s="23">
        <f>$B$7*B16</f>
        <v/>
      </c>
      <c r="D16" s="24">
        <f>100*C16/$B$10</f>
        <v/>
      </c>
      <c r="E16" s="24">
        <f>100*C16/$B$11</f>
        <v/>
      </c>
    </row>
    <row r="17">
      <c r="A17" s="21" t="n">
        <v>60</v>
      </c>
      <c r="B17" s="22" t="n">
        <v>0.0633</v>
      </c>
      <c r="C17" s="23">
        <f>$B$7*B17</f>
        <v/>
      </c>
      <c r="D17" s="24">
        <f>100*C17/$B$10</f>
        <v/>
      </c>
      <c r="E17" s="24">
        <f>100*C17/$B$11</f>
        <v/>
      </c>
    </row>
    <row r="18">
      <c r="A18" s="21" t="n">
        <v>90</v>
      </c>
      <c r="B18" s="22" t="n">
        <v>0.0902</v>
      </c>
      <c r="C18" s="23">
        <f>$B$7*B18</f>
        <v/>
      </c>
      <c r="D18" s="24">
        <f>100*C18/$B$10</f>
        <v/>
      </c>
      <c r="E18" s="24">
        <f>100*C18/$B$11</f>
        <v/>
      </c>
    </row>
    <row r="20">
      <c r="A20" s="16" t="inlineStr">
        <is>
          <t>Flip probabilities measured from 22 Jul 2026 AVL peak deviation distribution at the 11 locations (analysis/output/flip_probabilities.csv). Delay rows are scenarios; the 30 s row is the operations estimate.</t>
        </is>
      </c>
    </row>
    <row r="21">
      <c r="A21" s="16" t="inlineStr">
        <is>
          <t>dOTP = extra late trips / trip population, in percentage points. Conservative: single hit per trip, peaks only, 11 locations only.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2026-07-28T14:10:38Z</dcterms:created>
  <dcterms:modified xsi:type="dcterms:W3CDTF">2026-07-28T14:10:38Z</dcterms:modified>
</cp:coreProperties>
</file>