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BaseData22Jul" sheetId="2" state="visible" r:id="rId4"/>
    <sheet name="Model" sheetId="3" state="visible" r:id="rId5"/>
    <sheet name="NetworkTiers" sheetId="4" state="visible" r:id="rId6"/>
    <sheet name="ROI" sheetId="5" state="visible" r:id="rId7"/>
    <sheet name="KerbMonetiz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<sst xmlns="http://schemas.openxmlformats.org/spreadsheetml/2006/main" count="139" uniqueCount="131">
  <si>
    <t xml:space="preserve">Illegal Parking at Bus Stops - OTP Impact Model</t>
  </si>
  <si>
    <t xml:space="preserve">Blue cells = inputs you can change. Yellow = key assumptions. All results recalculate.</t>
  </si>
  <si>
    <t xml:space="preserve">Parameter</t>
  </si>
  <si>
    <t xml:space="preserve">Value</t>
  </si>
  <si>
    <t xml:space="preserve">Note / source</t>
  </si>
  <si>
    <t xml:space="preserve">Observed blocked-layby cases, AM peak 07:00-10:00 (60 = field survey, 11 locations, one day)</t>
  </si>
  <si>
    <t xml:space="preserve">Source: field survey table, one day, 11 locations</t>
  </si>
  <si>
    <t xml:space="preserve">Bus arrivals at the 11 locations, AM peak (from AVL 22 Jul 2026)</t>
  </si>
  <si>
    <t xml:space="preserve">Source: analysis/runtime_analysis.py -&gt; locations.csv</t>
  </si>
  <si>
    <t xml:space="preserve">Bus arrivals at the 11 locations, PM peak 17:00-20:00 (AVL)</t>
  </si>
  <si>
    <t xml:space="preserve">Same source</t>
  </si>
  <si>
    <t xml:space="preserve">PM/AM case intensity factor</t>
  </si>
  <si>
    <t xml:space="preserve">Default = PM/AM bus exposure ratio; override with a number if surveyed</t>
  </si>
  <si>
    <t xml:space="preserve">Average delay per obstructed arrival (seconds)</t>
  </si>
  <si>
    <t xml:space="preserve">Operations estimate (user-provided). Scenarios 15/60/90 s on Model sheet</t>
  </si>
  <si>
    <t xml:space="preserve">Operating days per year</t>
  </si>
  <si>
    <t xml:space="preserve">Working days (Mon-Fri). Low 250 / High 305 - see Model sheet</t>
  </si>
  <si>
    <t xml:space="preserve">Peak trips/day serving the 11 locations (AVL)</t>
  </si>
  <si>
    <t xml:space="preserve">Trips with a peak stop event at the 11 locations, 22 Jul 2026</t>
  </si>
  <si>
    <t xml:space="preserve">Total trips/day, all 38 affected routes (AVL)</t>
  </si>
  <si>
    <t xml:space="preserve">22 Jul 2026 AVL</t>
  </si>
  <si>
    <t xml:space="preserve">OTP window: early threshold (seconds)</t>
  </si>
  <si>
    <t xml:space="preserve">RTA rule: more than 1 min early = early</t>
  </si>
  <si>
    <t xml:space="preserve">OTP window: late threshold (seconds)</t>
  </si>
  <si>
    <t xml:space="preserve">RTA rule: more than 5 min late = late</t>
  </si>
  <si>
    <t xml:space="preserve">Field survey (one day, 07:00-10:00) x AVL exposure (22 Jul 2026)</t>
  </si>
  <si>
    <t xml:space="preserve">Location</t>
  </si>
  <si>
    <t xml:space="preserve">Cases AM (3h)</t>
  </si>
  <si>
    <t xml:space="preserve">Buses AM peak</t>
  </si>
  <si>
    <t xml:space="preserve">Buses PM peak</t>
  </si>
  <si>
    <t xml:space="preserve">Buses/day</t>
  </si>
  <si>
    <t xml:space="preserve">Cases per 100 AM buses</t>
  </si>
  <si>
    <t xml:space="preserve">OTP at stop (day)</t>
  </si>
  <si>
    <t xml:space="preserve">Naif Intersection</t>
  </si>
  <si>
    <t xml:space="preserve">Burj Nahar</t>
  </si>
  <si>
    <t xml:space="preserve">Al Jafliya</t>
  </si>
  <si>
    <t xml:space="preserve">Emirates Tower</t>
  </si>
  <si>
    <t xml:space="preserve">Al Khail Mall</t>
  </si>
  <si>
    <t xml:space="preserve">Al Hana Center</t>
  </si>
  <si>
    <t xml:space="preserve">Burjuman</t>
  </si>
  <si>
    <t xml:space="preserve">Sharaf DG Metro</t>
  </si>
  <si>
    <t xml:space="preserve">Al Rigga Metro</t>
  </si>
  <si>
    <t xml:space="preserve">Salah Al Din Metro</t>
  </si>
  <si>
    <t xml:space="preserve">Business Bay</t>
  </si>
  <si>
    <t xml:space="preserve">TOTAL</t>
  </si>
  <si>
    <t xml:space="preserve">Source: field survey (cases); data/Runtime_2026-07-22.xlsx via analysis/runtime_analysis.py (all other columns).</t>
  </si>
  <si>
    <t xml:space="preserve">Annual extrapolation &amp; OTP impact (11 surveyed locations only)</t>
  </si>
  <si>
    <t xml:space="preserve">Cases per day - AM peak</t>
  </si>
  <si>
    <t xml:space="preserve">Cases per day - PM peak (AM x PM factor)</t>
  </si>
  <si>
    <t xml:space="preserve">Cases per day - both peaks</t>
  </si>
  <si>
    <t xml:space="preserve">Annual blocked-layby cases</t>
  </si>
  <si>
    <t xml:space="preserve">Share of AM-peak arrivals obstructed</t>
  </si>
  <si>
    <t xml:space="preserve">Annual direct bus delay (hours)</t>
  </si>
  <si>
    <t xml:space="preserve">Annual peak trips serving the 11 locations</t>
  </si>
  <si>
    <t xml:space="preserve">Annual trips, all 38 routes (365 d service)</t>
  </si>
  <si>
    <t xml:space="preserve">Delay scenarios</t>
  </si>
  <si>
    <t xml:space="preserve">Delay per case (s)</t>
  </si>
  <si>
    <t xml:space="preserve">P(trip flips late)</t>
  </si>
  <si>
    <t xml:space="preserve">Extra late trips/yr</t>
  </si>
  <si>
    <t xml:space="preserve">dOTP affected peak trips (pp)</t>
  </si>
  <si>
    <t xml:space="preserve">dOTP all 38 routes (pp)</t>
  </si>
  <si>
    <t xml:space="preserve">Flip probabilities measured from 22 Jul 2026 AVL peak deviation distribution at the 11 locations (analysis/output/flip_probabilities.csv). Delay rows are scenarios; the 30 s row is the operations estimate.</t>
  </si>
  <si>
    <t xml:space="preserve">dOTP = extra late trips / trip population, in percentage points. Conservative: single hit per trip, peaks only, 11 locations only.</t>
  </si>
  <si>
    <t xml:space="preserve">Network-wide three-tier risk model (GTFS-based)</t>
  </si>
  <si>
    <t xml:space="preserve">High = 112 profile-matched stops; Medium/Low = next 400 / following 400 by AM-peak throughput. Rate multipliers are assumptions - adjust the blue cells.</t>
  </si>
  <si>
    <t xml:space="preserve">GTFS AM-peak arrivals at the 27 surveyed stops</t>
  </si>
  <si>
    <t xml:space="preserve">Calibrated case rate per AM-peak arrival</t>
  </si>
  <si>
    <t xml:space="preserve">Weekday bus trips with a peak-hour stop event</t>
  </si>
  <si>
    <t xml:space="preserve">Tier</t>
  </si>
  <si>
    <t xml:space="preserve">Stops</t>
  </si>
  <si>
    <t xml:space="preserve">AM-peak arrivals</t>
  </si>
  <si>
    <t xml:space="preserve">Rate multiplier</t>
  </si>
  <si>
    <t xml:space="preserve">Cases per AM peak</t>
  </si>
  <si>
    <t xml:space="preserve">Annual cases</t>
  </si>
  <si>
    <t xml:space="preserve">Delay hours @30s</t>
  </si>
  <si>
    <t xml:space="preserve">Extra late trips/yr @30s</t>
  </si>
  <si>
    <t xml:space="preserve">Extra late trips/yr @60s</t>
  </si>
  <si>
    <t xml:space="preserve">dOTP peak (pp) @30s</t>
  </si>
  <si>
    <t xml:space="preserve">dOTP peak (pp) @60s</t>
  </si>
  <si>
    <t xml:space="preserve">High (profile-matched)</t>
  </si>
  <si>
    <t xml:space="preserve">Medium (next 400 by throughput)</t>
  </si>
  <si>
    <t xml:space="preserve">Low (following 400)</t>
  </si>
  <si>
    <t xml:space="preserve">Cases = arrivals x calibrated rate x multiplier; annual = x (1+PM factor) x operating days. Flip probabilities referenced from Model sheet (22 Jul 2026 AVL). Source: analysis/network_scoring.py -&gt; tier_summary.csv</t>
  </si>
  <si>
    <t xml:space="preserve">Enforcement ROI - fixed vs portable cameras (5 years)</t>
  </si>
  <si>
    <t xml:space="preserve">Blue = inputs. NPV discounts year-end cash flows; capex at year 0. Source: analysis/roi_model.py</t>
  </si>
  <si>
    <t xml:space="preserve">Fine per violation (AED)</t>
  </si>
  <si>
    <t xml:space="preserve">Enforceability rate</t>
  </si>
  <si>
    <t xml:space="preserve">Collection rate</t>
  </si>
  <si>
    <t xml:space="preserve">Off-peak uplift factor</t>
  </si>
  <si>
    <t xml:space="preserve">Deterrence decay - fixed (per yr)</t>
  </si>
  <si>
    <t xml:space="preserve">Deterrence decay - portable (per yr)</t>
  </si>
  <si>
    <t xml:space="preserve">Discount rate</t>
  </si>
  <si>
    <t xml:space="preserve">Fixed camera capex per site (AED)</t>
  </si>
  <si>
    <t xml:space="preserve">Fixed camera opex per site/yr (AED)</t>
  </si>
  <si>
    <t xml:space="preserve">Portable unit capex (AED)</t>
  </si>
  <si>
    <t xml:space="preserve">Portable unit opex/yr (AED)</t>
  </si>
  <si>
    <t xml:space="preserve">Option A - fixed cameras by tier</t>
  </si>
  <si>
    <t xml:space="preserve">Annual peak cases</t>
  </si>
  <si>
    <t xml:space="preserve">Capex (M)</t>
  </si>
  <si>
    <t xml:space="preserve">Opex/yr (M)</t>
  </si>
  <si>
    <t xml:space="preserve">Revenue yr1 (M)</t>
  </si>
  <si>
    <t xml:space="preserve">5-yr NPV cash (M)</t>
  </si>
  <si>
    <t xml:space="preserve">High+Med NPV -&gt;</t>
  </si>
  <si>
    <t xml:space="preserve">High</t>
  </si>
  <si>
    <t xml:space="preserve">Medium</t>
  </si>
  <si>
    <t xml:space="preserve">Low</t>
  </si>
  <si>
    <t xml:space="preserve">TOTAL / High+Medium</t>
  </si>
  <si>
    <t xml:space="preserve">Option B - portable fleet at High-tier stops (monthly rotation)</t>
  </si>
  <si>
    <t xml:space="preserve">Units</t>
  </si>
  <si>
    <t xml:space="preserve">Events/stop/day</t>
  </si>
  <si>
    <t xml:space="preserve">Deterrence decay makes revenue decline by design - the permanent return is OTP recovery and safety. AED 500 federal fine scales revenue x2.5. Fine-revenue retention by RTA unconfirmed.</t>
  </si>
  <si>
    <t xml:space="preserve">Kerb monetization - charging private operators for legal layby use</t>
  </si>
  <si>
    <t xml:space="preserve">Permits + ANPR-billed pay-per-use. Rides on the enforcement cameras (no extra field hardware). Blue = inputs.</t>
  </si>
  <si>
    <t xml:space="preserve">Permitted vehicles (licensed operators)</t>
  </si>
  <si>
    <t xml:space="preserve">Permit fee (AED/vehicle/yr)</t>
  </si>
  <si>
    <t xml:space="preserve">Paid dwells per day (network-wide)</t>
  </si>
  <si>
    <t xml:space="preserve">Fee per dwell (AED)</t>
  </si>
  <si>
    <t xml:space="preserve">Adoption ramp year 1</t>
  </si>
  <si>
    <t xml:space="preserve">Adoption ramp year 2</t>
  </si>
  <si>
    <t xml:space="preserve">Adoption ramp year 3+</t>
  </si>
  <si>
    <t xml:space="preserve">Platform capex (AED)</t>
  </si>
  <si>
    <t xml:space="preserve">Administration opex (AED/yr)</t>
  </si>
  <si>
    <t xml:space="preserve">Steady-state revenue (AED/yr)</t>
  </si>
  <si>
    <t xml:space="preserve">Year</t>
  </si>
  <si>
    <t xml:space="preserve">Ramp</t>
  </si>
  <si>
    <t xml:space="preserve">Revenue (AED)</t>
  </si>
  <si>
    <t xml:space="preserve">Opex (AED)</t>
  </si>
  <si>
    <t xml:space="preserve">Net (AED)</t>
  </si>
  <si>
    <t xml:space="preserve">PV @ discount</t>
  </si>
  <si>
    <t xml:space="preserve">5-yr NPV (AED)</t>
  </si>
  <si>
    <t xml:space="preserve">Benchmarks: US airport kerb-access fees (USD 2.50-5/pick-up via geofence), smart loading zones (Pittsburgh, LA, Columbus - camera-billed per minute), Westminster paid coach bays. Source: analysis/roi_model.py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</si>
</sst>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0.0"/>
    <numFmt numFmtId="167" formatCode="0.0%"/>
    <numFmt numFmtId="168" formatCode="#,##0"/>
    <numFmt numFmtId="169" formatCode="0.00%"/>
    <numFmt numFmtId="170" formatCode="0.00"/>
    <numFmt numFmtId="171" formatCode="0.000%"/>
    <numFmt numFmtId="172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6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26.85" hidden="false" customHeight="false" outlineLevel="0" collapsed="false">
      <c r="A5" s="4" t="s">
        <v>5</v>
      </c>
      <c r="B5" s="5" t="n">
        <v>60</v>
      </c>
      <c r="C5" s="6" t="s">
        <v>6</v>
      </c>
    </row>
    <row r="6" customFormat="false" ht="26.85" hidden="false" customHeight="false" outlineLevel="0" collapsed="false">
      <c r="A6" s="4" t="s">
        <v>7</v>
      </c>
      <c r="B6" s="5" t="n">
        <v>1254</v>
      </c>
      <c r="C6" s="6" t="s">
        <v>8</v>
      </c>
    </row>
    <row r="7" customFormat="false" ht="15" hidden="false" customHeight="false" outlineLevel="0" collapsed="false">
      <c r="A7" s="4" t="s">
        <v>9</v>
      </c>
      <c r="B7" s="5" t="n">
        <v>1147</v>
      </c>
      <c r="C7" s="6" t="s">
        <v>10</v>
      </c>
    </row>
    <row r="8" customFormat="false" ht="15" hidden="false" customHeight="false" outlineLevel="0" collapsed="false">
      <c r="A8" s="4" t="s">
        <v>11</v>
      </c>
      <c r="B8" s="7" t="n">
        <f aca="false">B7/B6</f>
        <v>0.914673046251994</v>
      </c>
      <c r="C8" s="6" t="s">
        <v>12</v>
      </c>
    </row>
    <row r="9" customFormat="false" ht="15" hidden="false" customHeight="false" outlineLevel="0" collapsed="false">
      <c r="A9" s="4" t="s">
        <v>13</v>
      </c>
      <c r="B9" s="8" t="n">
        <v>30</v>
      </c>
      <c r="C9" s="6" t="s">
        <v>14</v>
      </c>
    </row>
    <row r="10" customFormat="false" ht="15" hidden="false" customHeight="false" outlineLevel="0" collapsed="false">
      <c r="A10" s="4" t="s">
        <v>15</v>
      </c>
      <c r="B10" s="8" t="n">
        <v>261</v>
      </c>
      <c r="C10" s="6" t="s">
        <v>16</v>
      </c>
    </row>
    <row r="11" customFormat="false" ht="15" hidden="false" customHeight="false" outlineLevel="0" collapsed="false">
      <c r="A11" s="4" t="s">
        <v>17</v>
      </c>
      <c r="B11" s="5" t="n">
        <v>1042</v>
      </c>
      <c r="C11" s="6" t="s">
        <v>18</v>
      </c>
    </row>
    <row r="12" customFormat="false" ht="15" hidden="false" customHeight="false" outlineLevel="0" collapsed="false">
      <c r="A12" s="4" t="s">
        <v>19</v>
      </c>
      <c r="B12" s="5" t="n">
        <v>2999</v>
      </c>
      <c r="C12" s="6" t="s">
        <v>20</v>
      </c>
    </row>
    <row r="13" customFormat="false" ht="15" hidden="false" customHeight="false" outlineLevel="0" collapsed="false">
      <c r="A13" s="4" t="s">
        <v>21</v>
      </c>
      <c r="B13" s="5" t="n">
        <v>-60</v>
      </c>
      <c r="C13" s="6" t="s">
        <v>22</v>
      </c>
    </row>
    <row r="14" customFormat="false" ht="15" hidden="false" customHeight="false" outlineLevel="0" collapsed="false">
      <c r="A14" s="4" t="s">
        <v>23</v>
      </c>
      <c r="B14" s="5" t="n">
        <v>300</v>
      </c>
      <c r="C14" s="6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5"/>
  </cols>
  <sheetData>
    <row r="1" customFormat="false" ht="17.35" hidden="false" customHeight="false" outlineLevel="0" collapsed="false">
      <c r="A1" s="1" t="s">
        <v>25</v>
      </c>
    </row>
    <row r="3" customFormat="false" ht="26.85" hidden="false" customHeight="false" outlineLevel="0" collapsed="false">
      <c r="A3" s="9" t="s">
        <v>26</v>
      </c>
      <c r="B3" s="9" t="s">
        <v>27</v>
      </c>
      <c r="C3" s="9" t="s">
        <v>28</v>
      </c>
      <c r="D3" s="9" t="s">
        <v>29</v>
      </c>
      <c r="E3" s="9" t="s">
        <v>30</v>
      </c>
      <c r="F3" s="9" t="s">
        <v>31</v>
      </c>
      <c r="G3" s="9" t="s">
        <v>32</v>
      </c>
    </row>
    <row r="4" customFormat="false" ht="15" hidden="false" customHeight="false" outlineLevel="0" collapsed="false">
      <c r="A4" s="10" t="s">
        <v>33</v>
      </c>
      <c r="B4" s="10" t="n">
        <v>5</v>
      </c>
      <c r="C4" s="10" t="n">
        <v>195</v>
      </c>
      <c r="D4" s="10" t="n">
        <v>168</v>
      </c>
      <c r="E4" s="10" t="n">
        <v>1086</v>
      </c>
      <c r="F4" s="11" t="n">
        <f aca="false">100*B4/C4</f>
        <v>2.56410256410256</v>
      </c>
      <c r="G4" s="12" t="n">
        <v>0.827</v>
      </c>
    </row>
    <row r="5" customFormat="false" ht="15" hidden="false" customHeight="false" outlineLevel="0" collapsed="false">
      <c r="A5" s="10" t="s">
        <v>34</v>
      </c>
      <c r="B5" s="10" t="n">
        <v>5</v>
      </c>
      <c r="C5" s="10" t="n">
        <v>195</v>
      </c>
      <c r="D5" s="10" t="n">
        <v>169</v>
      </c>
      <c r="E5" s="10" t="n">
        <v>1087</v>
      </c>
      <c r="F5" s="11" t="n">
        <f aca="false">100*B5/C5</f>
        <v>2.56410256410256</v>
      </c>
      <c r="G5" s="12" t="n">
        <v>0.845</v>
      </c>
    </row>
    <row r="6" customFormat="false" ht="15" hidden="false" customHeight="false" outlineLevel="0" collapsed="false">
      <c r="A6" s="10" t="s">
        <v>35</v>
      </c>
      <c r="B6" s="10" t="n">
        <v>6</v>
      </c>
      <c r="C6" s="10" t="n">
        <v>45</v>
      </c>
      <c r="D6" s="10" t="n">
        <v>33</v>
      </c>
      <c r="E6" s="10" t="n">
        <v>220</v>
      </c>
      <c r="F6" s="11" t="n">
        <f aca="false">100*B6/C6</f>
        <v>13.3333333333333</v>
      </c>
      <c r="G6" s="12" t="n">
        <v>0.936</v>
      </c>
    </row>
    <row r="7" customFormat="false" ht="15" hidden="false" customHeight="false" outlineLevel="0" collapsed="false">
      <c r="A7" s="10" t="s">
        <v>36</v>
      </c>
      <c r="B7" s="10" t="n">
        <v>3</v>
      </c>
      <c r="C7" s="10" t="n">
        <v>48</v>
      </c>
      <c r="D7" s="10" t="n">
        <v>40</v>
      </c>
      <c r="E7" s="10" t="n">
        <v>265</v>
      </c>
      <c r="F7" s="11" t="n">
        <f aca="false">100*B7/C7</f>
        <v>6.25</v>
      </c>
      <c r="G7" s="12" t="n">
        <v>0.916</v>
      </c>
    </row>
    <row r="8" customFormat="false" ht="15" hidden="false" customHeight="false" outlineLevel="0" collapsed="false">
      <c r="A8" s="10" t="s">
        <v>37</v>
      </c>
      <c r="B8" s="10" t="n">
        <v>2</v>
      </c>
      <c r="C8" s="10" t="n">
        <v>211</v>
      </c>
      <c r="D8" s="10" t="n">
        <v>204</v>
      </c>
      <c r="E8" s="10" t="n">
        <v>1127</v>
      </c>
      <c r="F8" s="11" t="n">
        <f aca="false">100*B8/C8</f>
        <v>0.947867298578199</v>
      </c>
      <c r="G8" s="12" t="n">
        <v>0.933</v>
      </c>
    </row>
    <row r="9" customFormat="false" ht="15" hidden="false" customHeight="false" outlineLevel="0" collapsed="false">
      <c r="A9" s="10" t="s">
        <v>38</v>
      </c>
      <c r="B9" s="10" t="n">
        <v>5</v>
      </c>
      <c r="C9" s="10" t="n">
        <v>128</v>
      </c>
      <c r="D9" s="10" t="n">
        <v>113</v>
      </c>
      <c r="E9" s="10" t="n">
        <v>716</v>
      </c>
      <c r="F9" s="11" t="n">
        <f aca="false">100*B9/C9</f>
        <v>3.90625</v>
      </c>
      <c r="G9" s="12" t="n">
        <v>0.919</v>
      </c>
    </row>
    <row r="10" customFormat="false" ht="15" hidden="false" customHeight="false" outlineLevel="0" collapsed="false">
      <c r="A10" s="10" t="s">
        <v>39</v>
      </c>
      <c r="B10" s="10" t="n">
        <v>7</v>
      </c>
      <c r="C10" s="10" t="n">
        <v>77</v>
      </c>
      <c r="D10" s="10" t="n">
        <v>78</v>
      </c>
      <c r="E10" s="10" t="n">
        <v>438</v>
      </c>
      <c r="F10" s="11" t="n">
        <f aca="false">100*B10/C10</f>
        <v>9.09090909090909</v>
      </c>
      <c r="G10" s="12" t="n">
        <v>0.902</v>
      </c>
    </row>
    <row r="11" customFormat="false" ht="15" hidden="false" customHeight="false" outlineLevel="0" collapsed="false">
      <c r="A11" s="10" t="s">
        <v>40</v>
      </c>
      <c r="B11" s="10" t="n">
        <v>8</v>
      </c>
      <c r="C11" s="10" t="n">
        <v>179</v>
      </c>
      <c r="D11" s="10" t="n">
        <v>178</v>
      </c>
      <c r="E11" s="10" t="n">
        <v>1031</v>
      </c>
      <c r="F11" s="11" t="n">
        <f aca="false">100*B11/C11</f>
        <v>4.46927374301676</v>
      </c>
      <c r="G11" s="12" t="n">
        <v>0.787</v>
      </c>
    </row>
    <row r="12" customFormat="false" ht="15" hidden="false" customHeight="false" outlineLevel="0" collapsed="false">
      <c r="A12" s="10" t="s">
        <v>41</v>
      </c>
      <c r="B12" s="10" t="n">
        <v>5</v>
      </c>
      <c r="C12" s="10" t="n">
        <v>31</v>
      </c>
      <c r="D12" s="10" t="n">
        <v>26</v>
      </c>
      <c r="E12" s="10" t="n">
        <v>176</v>
      </c>
      <c r="F12" s="11" t="n">
        <f aca="false">100*B12/C12</f>
        <v>16.1290322580645</v>
      </c>
      <c r="G12" s="12" t="n">
        <v>0.835</v>
      </c>
    </row>
    <row r="13" customFormat="false" ht="15" hidden="false" customHeight="false" outlineLevel="0" collapsed="false">
      <c r="A13" s="10" t="s">
        <v>42</v>
      </c>
      <c r="B13" s="10" t="n">
        <v>4</v>
      </c>
      <c r="C13" s="10" t="n">
        <v>43</v>
      </c>
      <c r="D13" s="10" t="n">
        <v>37</v>
      </c>
      <c r="E13" s="10" t="n">
        <v>236</v>
      </c>
      <c r="F13" s="11" t="n">
        <f aca="false">100*B13/C13</f>
        <v>9.30232558139535</v>
      </c>
      <c r="G13" s="12" t="n">
        <v>0.915</v>
      </c>
    </row>
    <row r="14" customFormat="false" ht="15" hidden="false" customHeight="false" outlineLevel="0" collapsed="false">
      <c r="A14" s="10" t="s">
        <v>43</v>
      </c>
      <c r="B14" s="10" t="n">
        <v>10</v>
      </c>
      <c r="C14" s="10" t="n">
        <v>102</v>
      </c>
      <c r="D14" s="10" t="n">
        <v>101</v>
      </c>
      <c r="E14" s="10" t="n">
        <v>455</v>
      </c>
      <c r="F14" s="11" t="n">
        <f aca="false">100*B14/C14</f>
        <v>9.80392156862745</v>
      </c>
      <c r="G14" s="12" t="n">
        <v>0.939</v>
      </c>
    </row>
    <row r="15" customFormat="false" ht="15" hidden="false" customHeight="false" outlineLevel="0" collapsed="false">
      <c r="A15" s="13" t="s">
        <v>44</v>
      </c>
      <c r="B15" s="13" t="n">
        <f aca="false">SUM(B4:B14)</f>
        <v>60</v>
      </c>
      <c r="C15" s="13" t="n">
        <f aca="false">SUM(C4:C14)</f>
        <v>1254</v>
      </c>
      <c r="D15" s="13" t="n">
        <f aca="false">SUM(D4:D14)</f>
        <v>1147</v>
      </c>
      <c r="E15" s="13" t="n">
        <f aca="false">SUM(E4:E14)</f>
        <v>6837</v>
      </c>
      <c r="F15" s="14" t="n">
        <f aca="false">100*B15/C15</f>
        <v>4.78468899521531</v>
      </c>
      <c r="G15" s="15"/>
    </row>
    <row r="17" customFormat="false" ht="15" hidden="false" customHeight="false" outlineLevel="0" collapsed="false">
      <c r="A17" s="16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15"/>
  </cols>
  <sheetData>
    <row r="1" customFormat="false" ht="17.35" hidden="false" customHeight="false" outlineLevel="0" collapsed="false">
      <c r="A1" s="1" t="s">
        <v>46</v>
      </c>
    </row>
    <row r="4" customFormat="false" ht="15" hidden="false" customHeight="false" outlineLevel="0" collapsed="false">
      <c r="A4" s="17" t="s">
        <v>47</v>
      </c>
      <c r="B4" s="18" t="n">
        <f aca="false">Assumptions!B5</f>
        <v>60</v>
      </c>
    </row>
    <row r="5" customFormat="false" ht="15" hidden="false" customHeight="false" outlineLevel="0" collapsed="false">
      <c r="A5" s="17" t="s">
        <v>48</v>
      </c>
      <c r="B5" s="18" t="n">
        <f aca="false">Assumptions!B5*Assumptions!B8</f>
        <v>54.8803827751196</v>
      </c>
    </row>
    <row r="6" customFormat="false" ht="15" hidden="false" customHeight="false" outlineLevel="0" collapsed="false">
      <c r="A6" s="17" t="s">
        <v>49</v>
      </c>
      <c r="B6" s="18" t="n">
        <f aca="false">B4+B5</f>
        <v>114.88038277512</v>
      </c>
    </row>
    <row r="7" customFormat="false" ht="15" hidden="false" customHeight="false" outlineLevel="0" collapsed="false">
      <c r="A7" s="17" t="s">
        <v>50</v>
      </c>
      <c r="B7" s="18" t="n">
        <f aca="false">B6*Assumptions!B10</f>
        <v>29983.7799043062</v>
      </c>
    </row>
    <row r="8" customFormat="false" ht="15" hidden="false" customHeight="false" outlineLevel="0" collapsed="false">
      <c r="A8" s="17" t="s">
        <v>51</v>
      </c>
      <c r="B8" s="19" t="n">
        <f aca="false">Assumptions!B5/Assumptions!B6</f>
        <v>0.0478468899521531</v>
      </c>
    </row>
    <row r="9" customFormat="false" ht="15" hidden="false" customHeight="false" outlineLevel="0" collapsed="false">
      <c r="A9" s="17" t="s">
        <v>52</v>
      </c>
      <c r="B9" s="18" t="n">
        <f aca="false">B7*Assumptions!B9/3600</f>
        <v>249.864832535885</v>
      </c>
    </row>
    <row r="10" customFormat="false" ht="15" hidden="false" customHeight="false" outlineLevel="0" collapsed="false">
      <c r="A10" s="17" t="s">
        <v>53</v>
      </c>
      <c r="B10" s="18" t="n">
        <f aca="false">Assumptions!B11*Assumptions!B10</f>
        <v>271962</v>
      </c>
    </row>
    <row r="11" customFormat="false" ht="15" hidden="false" customHeight="false" outlineLevel="0" collapsed="false">
      <c r="A11" s="17" t="s">
        <v>54</v>
      </c>
      <c r="B11" s="18" t="n">
        <f aca="false">Assumptions!B12*365</f>
        <v>1094635</v>
      </c>
    </row>
    <row r="13" customFormat="false" ht="15" hidden="false" customHeight="false" outlineLevel="0" collapsed="false">
      <c r="A13" s="20" t="s">
        <v>55</v>
      </c>
    </row>
    <row r="14" customFormat="false" ht="26.85" hidden="false" customHeight="false" outlineLevel="0" collapsed="false">
      <c r="A14" s="9" t="s">
        <v>56</v>
      </c>
      <c r="B14" s="9" t="s">
        <v>57</v>
      </c>
      <c r="C14" s="9" t="s">
        <v>58</v>
      </c>
      <c r="D14" s="9" t="s">
        <v>59</v>
      </c>
      <c r="E14" s="9" t="s">
        <v>60</v>
      </c>
    </row>
    <row r="15" customFormat="false" ht="15" hidden="false" customHeight="false" outlineLevel="0" collapsed="false">
      <c r="A15" s="21" t="n">
        <v>15</v>
      </c>
      <c r="B15" s="22" t="n">
        <v>0.0144</v>
      </c>
      <c r="C15" s="23" t="n">
        <f aca="false">$B$7*B15</f>
        <v>431.76643062201</v>
      </c>
      <c r="D15" s="24" t="n">
        <f aca="false">100*C15/$B$10</f>
        <v>0.158759838000165</v>
      </c>
      <c r="E15" s="24" t="n">
        <f aca="false">100*C15/$B$11</f>
        <v>0.0394438722151228</v>
      </c>
    </row>
    <row r="16" customFormat="false" ht="15" hidden="false" customHeight="false" outlineLevel="0" collapsed="false">
      <c r="A16" s="21" t="n">
        <v>30</v>
      </c>
      <c r="B16" s="22" t="n">
        <v>0.0259</v>
      </c>
      <c r="C16" s="23" t="n">
        <f aca="false">$B$7*B16</f>
        <v>776.579899521531</v>
      </c>
      <c r="D16" s="24" t="n">
        <f aca="false">100*C16/$B$10</f>
        <v>0.285547208625297</v>
      </c>
      <c r="E16" s="24" t="n">
        <f aca="false">100*C16/$B$11</f>
        <v>0.0709441868313667</v>
      </c>
    </row>
    <row r="17" customFormat="false" ht="15" hidden="false" customHeight="false" outlineLevel="0" collapsed="false">
      <c r="A17" s="21" t="n">
        <v>60</v>
      </c>
      <c r="B17" s="22" t="n">
        <v>0.0633</v>
      </c>
      <c r="C17" s="23" t="n">
        <f aca="false">$B$7*B17</f>
        <v>1897.97326794258</v>
      </c>
      <c r="D17" s="24" t="n">
        <f aca="false">100*C17/$B$10</f>
        <v>0.697881787875727</v>
      </c>
      <c r="E17" s="24" t="n">
        <f aca="false">100*C17/$B$11</f>
        <v>0.173388688278977</v>
      </c>
    </row>
    <row r="18" customFormat="false" ht="15" hidden="false" customHeight="false" outlineLevel="0" collapsed="false">
      <c r="A18" s="21" t="n">
        <v>90</v>
      </c>
      <c r="B18" s="22" t="n">
        <v>0.0902</v>
      </c>
      <c r="C18" s="23" t="n">
        <f aca="false">$B$7*B18</f>
        <v>2704.53694736842</v>
      </c>
      <c r="D18" s="24" t="n">
        <f aca="false">100*C18/$B$10</f>
        <v>0.994453985251035</v>
      </c>
      <c r="E18" s="24" t="n">
        <f aca="false">100*C18/$B$11</f>
        <v>0.247072032903061</v>
      </c>
    </row>
    <row r="20" customFormat="false" ht="15" hidden="false" customHeight="false" outlineLevel="0" collapsed="false">
      <c r="A20" s="16" t="s">
        <v>61</v>
      </c>
    </row>
    <row r="21" customFormat="false" ht="15" hidden="false" customHeight="false" outlineLevel="0" collapsed="false">
      <c r="A21" s="16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1" min="2" style="0" width="13"/>
  </cols>
  <sheetData>
    <row r="1" customFormat="false" ht="17.35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3" customFormat="false" ht="15" hidden="false" customHeight="false" outlineLevel="0" collapsed="false">
      <c r="A3" s="0" t="s">
        <v>65</v>
      </c>
      <c r="B3" s="25" t="n">
        <v>2084</v>
      </c>
    </row>
    <row r="4" customFormat="false" ht="15" hidden="false" customHeight="false" outlineLevel="0" collapsed="false">
      <c r="A4" s="0" t="s">
        <v>66</v>
      </c>
      <c r="B4" s="26" t="n">
        <f aca="false">Assumptions!B5/B3</f>
        <v>0.0287907869481766</v>
      </c>
    </row>
    <row r="5" customFormat="false" ht="15" hidden="false" customHeight="false" outlineLevel="0" collapsed="false">
      <c r="A5" s="0" t="s">
        <v>67</v>
      </c>
      <c r="B5" s="25" t="n">
        <v>9771</v>
      </c>
    </row>
    <row r="7" customFormat="false" ht="26.85" hidden="false" customHeight="false" outlineLevel="0" collapsed="false">
      <c r="A7" s="9" t="s">
        <v>68</v>
      </c>
      <c r="B7" s="9" t="s">
        <v>69</v>
      </c>
      <c r="C7" s="9" t="s">
        <v>70</v>
      </c>
      <c r="D7" s="9" t="s">
        <v>71</v>
      </c>
      <c r="E7" s="9" t="s">
        <v>72</v>
      </c>
      <c r="F7" s="9" t="s">
        <v>73</v>
      </c>
      <c r="G7" s="9" t="s">
        <v>74</v>
      </c>
      <c r="H7" s="9" t="s">
        <v>75</v>
      </c>
      <c r="I7" s="9" t="s">
        <v>76</v>
      </c>
      <c r="J7" s="9" t="s">
        <v>77</v>
      </c>
      <c r="K7" s="9" t="s">
        <v>78</v>
      </c>
    </row>
    <row r="8" customFormat="false" ht="15" hidden="false" customHeight="false" outlineLevel="0" collapsed="false">
      <c r="A8" s="10" t="s">
        <v>79</v>
      </c>
      <c r="B8" s="21" t="n">
        <v>112</v>
      </c>
      <c r="C8" s="21" t="n">
        <v>12622</v>
      </c>
      <c r="D8" s="21" t="n">
        <v>1</v>
      </c>
      <c r="E8" s="23" t="n">
        <f aca="false">C8*$B$4*D8</f>
        <v>363.397312859885</v>
      </c>
      <c r="F8" s="23" t="n">
        <f aca="false">E8*(1+Assumptions!B8)*Assumptions!B10</f>
        <v>181600.417443452</v>
      </c>
      <c r="G8" s="23" t="n">
        <f aca="false">F8*Assumptions!B9/3600</f>
        <v>1513.33681202876</v>
      </c>
      <c r="H8" s="23" t="n">
        <f aca="false">F8*Model!$B$16</f>
        <v>4703.4508117854</v>
      </c>
      <c r="I8" s="23" t="n">
        <f aca="false">F8*Model!$B$17</f>
        <v>11495.3064241705</v>
      </c>
      <c r="J8" s="24" t="n">
        <f aca="false">100*H8/($B$5*Assumptions!B10)</f>
        <v>0.184432344041987</v>
      </c>
      <c r="K8" s="24" t="n">
        <f aca="false">100*I8/($B$5*Assumptions!B10)</f>
        <v>0.450755497214585</v>
      </c>
    </row>
    <row r="9" customFormat="false" ht="15" hidden="false" customHeight="false" outlineLevel="0" collapsed="false">
      <c r="A9" s="10" t="s">
        <v>80</v>
      </c>
      <c r="B9" s="21" t="n">
        <v>400</v>
      </c>
      <c r="C9" s="21" t="n">
        <v>18657</v>
      </c>
      <c r="D9" s="21" t="n">
        <v>0.5</v>
      </c>
      <c r="E9" s="23" t="n">
        <f aca="false">C9*$B$4*D9</f>
        <v>268.574856046065</v>
      </c>
      <c r="F9" s="23" t="n">
        <f aca="false">E9*(1+Assumptions!B8)*Assumptions!B10</f>
        <v>134214.822858599</v>
      </c>
      <c r="G9" s="23" t="n">
        <f aca="false">F9*Assumptions!B9/3600</f>
        <v>1118.45685715499</v>
      </c>
      <c r="H9" s="23" t="n">
        <f aca="false">F9*Model!$B$16</f>
        <v>3476.16391203772</v>
      </c>
      <c r="I9" s="23" t="n">
        <f aca="false">F9*Model!$B$17</f>
        <v>8495.79828694932</v>
      </c>
      <c r="J9" s="24" t="n">
        <f aca="false">100*H9/($B$5*Assumptions!B10)</f>
        <v>0.136307805529684</v>
      </c>
      <c r="K9" s="24" t="n">
        <f aca="false">100*I9/($B$5*Assumptions!B10)</f>
        <v>0.333138381854402</v>
      </c>
    </row>
    <row r="10" customFormat="false" ht="15" hidden="false" customHeight="false" outlineLevel="0" collapsed="false">
      <c r="A10" s="10" t="s">
        <v>81</v>
      </c>
      <c r="B10" s="21" t="n">
        <v>400</v>
      </c>
      <c r="C10" s="21" t="n">
        <v>8273</v>
      </c>
      <c r="D10" s="21" t="n">
        <v>0.25</v>
      </c>
      <c r="E10" s="23" t="n">
        <f aca="false">C10*$B$4*D10</f>
        <v>59.5465451055662</v>
      </c>
      <c r="F10" s="23" t="n">
        <f aca="false">E10*(1+Assumptions!B8)*Assumptions!B10</f>
        <v>29757.1750417857</v>
      </c>
      <c r="G10" s="23" t="n">
        <f aca="false">F10*Assumptions!B9/3600</f>
        <v>247.976458681547</v>
      </c>
      <c r="H10" s="23" t="n">
        <f aca="false">F10*Model!$B$16</f>
        <v>770.710833582249</v>
      </c>
      <c r="I10" s="23" t="n">
        <f aca="false">F10*Model!$B$17</f>
        <v>1883.62918014503</v>
      </c>
      <c r="J10" s="24" t="n">
        <f aca="false">100*H10/($B$5*Assumptions!B10)</f>
        <v>0.0302212165714498</v>
      </c>
      <c r="K10" s="24" t="n">
        <f aca="false">100*I10/($B$5*Assumptions!B10)</f>
        <v>0.0738611200375587</v>
      </c>
    </row>
    <row r="11" customFormat="false" ht="15" hidden="false" customHeight="false" outlineLevel="0" collapsed="false">
      <c r="A11" s="13" t="s">
        <v>44</v>
      </c>
      <c r="B11" s="27" t="n">
        <f aca="false">SUM(B8:B10)</f>
        <v>912</v>
      </c>
      <c r="C11" s="27" t="n">
        <f aca="false">SUM(C8:C10)</f>
        <v>39552</v>
      </c>
      <c r="D11" s="15"/>
      <c r="E11" s="27" t="n">
        <f aca="false">SUM(E8:E10)</f>
        <v>691.518714011516</v>
      </c>
      <c r="F11" s="27" t="n">
        <f aca="false">SUM(F8:F10)</f>
        <v>345572.415343836</v>
      </c>
      <c r="G11" s="27" t="n">
        <f aca="false">SUM(G8:G10)</f>
        <v>2879.7701278653</v>
      </c>
      <c r="H11" s="27" t="n">
        <f aca="false">SUM(H8:H10)</f>
        <v>8950.32555740536</v>
      </c>
      <c r="I11" s="27" t="n">
        <f aca="false">SUM(I8:I10)</f>
        <v>21874.7338912648</v>
      </c>
      <c r="J11" s="28" t="n">
        <f aca="false">SUM(J8:J10)</f>
        <v>0.35096136614312</v>
      </c>
      <c r="K11" s="28" t="n">
        <f aca="false">SUM(K8:K10)</f>
        <v>0.857754999106545</v>
      </c>
    </row>
    <row r="13" customFormat="false" ht="15" hidden="false" customHeight="false" outlineLevel="0" collapsed="false">
      <c r="A13" s="16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3"/>
  </cols>
  <sheetData>
    <row r="1" customFormat="false" ht="17.35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84</v>
      </c>
    </row>
    <row r="4" customFormat="false" ht="15" hidden="false" customHeight="false" outlineLevel="0" collapsed="false">
      <c r="A4" s="17" t="s">
        <v>85</v>
      </c>
      <c r="B4" s="29" t="n">
        <v>200</v>
      </c>
    </row>
    <row r="5" customFormat="false" ht="15" hidden="false" customHeight="false" outlineLevel="0" collapsed="false">
      <c r="A5" s="17" t="s">
        <v>86</v>
      </c>
      <c r="B5" s="30" t="n">
        <v>0.7</v>
      </c>
    </row>
    <row r="6" customFormat="false" ht="15" hidden="false" customHeight="false" outlineLevel="0" collapsed="false">
      <c r="A6" s="17" t="s">
        <v>87</v>
      </c>
      <c r="B6" s="30" t="n">
        <v>0.8</v>
      </c>
    </row>
    <row r="7" customFormat="false" ht="15" hidden="false" customHeight="false" outlineLevel="0" collapsed="false">
      <c r="A7" s="17" t="s">
        <v>88</v>
      </c>
      <c r="B7" s="30" t="n">
        <v>0.2</v>
      </c>
    </row>
    <row r="8" customFormat="false" ht="15" hidden="false" customHeight="false" outlineLevel="0" collapsed="false">
      <c r="A8" s="17" t="s">
        <v>89</v>
      </c>
      <c r="B8" s="30" t="n">
        <v>0.25</v>
      </c>
    </row>
    <row r="9" customFormat="false" ht="15" hidden="false" customHeight="false" outlineLevel="0" collapsed="false">
      <c r="A9" s="17" t="s">
        <v>90</v>
      </c>
      <c r="B9" s="30" t="n">
        <v>0.15</v>
      </c>
    </row>
    <row r="10" customFormat="false" ht="15" hidden="false" customHeight="false" outlineLevel="0" collapsed="false">
      <c r="A10" s="17" t="s">
        <v>91</v>
      </c>
      <c r="B10" s="30" t="n">
        <v>0.07</v>
      </c>
    </row>
    <row r="11" customFormat="false" ht="15" hidden="false" customHeight="false" outlineLevel="0" collapsed="false">
      <c r="A11" s="17" t="s">
        <v>92</v>
      </c>
      <c r="B11" s="29" t="n">
        <v>40000</v>
      </c>
    </row>
    <row r="12" customFormat="false" ht="15" hidden="false" customHeight="false" outlineLevel="0" collapsed="false">
      <c r="A12" s="17" t="s">
        <v>93</v>
      </c>
      <c r="B12" s="29" t="n">
        <v>5000</v>
      </c>
    </row>
    <row r="13" customFormat="false" ht="15" hidden="false" customHeight="false" outlineLevel="0" collapsed="false">
      <c r="A13" s="17" t="s">
        <v>94</v>
      </c>
      <c r="B13" s="29" t="n">
        <v>15000</v>
      </c>
    </row>
    <row r="14" customFormat="false" ht="15" hidden="false" customHeight="false" outlineLevel="0" collapsed="false">
      <c r="A14" s="17" t="s">
        <v>95</v>
      </c>
      <c r="B14" s="29" t="n">
        <v>60000</v>
      </c>
    </row>
    <row r="16" customFormat="false" ht="15" hidden="false" customHeight="false" outlineLevel="0" collapsed="false">
      <c r="A16" s="20" t="s">
        <v>96</v>
      </c>
    </row>
    <row r="17" customFormat="false" ht="26.85" hidden="false" customHeight="false" outlineLevel="0" collapsed="false">
      <c r="A17" s="9" t="s">
        <v>68</v>
      </c>
      <c r="B17" s="9" t="s">
        <v>69</v>
      </c>
      <c r="C17" s="9" t="s">
        <v>97</v>
      </c>
      <c r="D17" s="9" t="s">
        <v>98</v>
      </c>
      <c r="E17" s="9" t="s">
        <v>99</v>
      </c>
      <c r="F17" s="9" t="s">
        <v>100</v>
      </c>
      <c r="G17" s="9" t="s">
        <v>101</v>
      </c>
      <c r="H17" s="16" t="s">
        <v>102</v>
      </c>
    </row>
    <row r="18" customFormat="false" ht="15" hidden="false" customHeight="false" outlineLevel="0" collapsed="false">
      <c r="A18" s="10" t="s">
        <v>103</v>
      </c>
      <c r="B18" s="21" t="n">
        <v>112</v>
      </c>
      <c r="C18" s="31" t="n">
        <v>181600</v>
      </c>
      <c r="D18" s="24" t="n">
        <f aca="false">B18*$B$11/1000000</f>
        <v>4.48</v>
      </c>
      <c r="E18" s="24" t="n">
        <f aca="false">B18*$B$12/1000000</f>
        <v>0.56</v>
      </c>
      <c r="F18" s="24" t="n">
        <f aca="false">C18*(1+$B$7)*$B$5*$B$6*$B$4/1000000</f>
        <v>24.40704</v>
      </c>
      <c r="G18" s="11" t="n">
        <f aca="false">(F18*((1-$B$8)^0/(1+$B$10)^1+(1-$B$8)^1/(1+$B$10)^2+(1-$B$8)^2/(1+$B$10)^3+(1-$B$8)^3/(1+$B$10)^4+(1-$B$8)^4/(1+$B$10)^5))-(E18*(1/(1+$B$10)^1+1/(1+$B$10)^2+1/(1+$B$10)^3+1/(1+$B$10)^4+1/(1+$B$10)^5))-D18</f>
        <v>56.591051254987</v>
      </c>
    </row>
    <row r="19" customFormat="false" ht="15" hidden="false" customHeight="false" outlineLevel="0" collapsed="false">
      <c r="A19" s="10" t="s">
        <v>104</v>
      </c>
      <c r="B19" s="21" t="n">
        <v>400</v>
      </c>
      <c r="C19" s="31" t="n">
        <v>134200</v>
      </c>
      <c r="D19" s="24" t="n">
        <f aca="false">B19*$B$11/1000000</f>
        <v>16</v>
      </c>
      <c r="E19" s="24" t="n">
        <f aca="false">B19*$B$12/1000000</f>
        <v>2</v>
      </c>
      <c r="F19" s="24" t="n">
        <f aca="false">C19*(1+$B$7)*$B$5*$B$6*$B$4/1000000</f>
        <v>18.03648</v>
      </c>
      <c r="G19" s="11" t="n">
        <f aca="false">(F19*((1-$B$8)^0/(1+$B$10)^1+(1-$B$8)^1/(1+$B$10)^2+(1-$B$8)^2/(1+$B$10)^3+(1-$B$8)^3/(1+$B$10)^4+(1-$B$8)^4/(1+$B$10)^5))-(E19*(1/(1+$B$10)^1+1/(1+$B$10)^2+1/(1+$B$10)^3+1/(1+$B$10)^4+1/(1+$B$10)^5))-D19</f>
        <v>22.627100260955</v>
      </c>
    </row>
    <row r="20" customFormat="false" ht="15" hidden="false" customHeight="false" outlineLevel="0" collapsed="false">
      <c r="A20" s="10" t="s">
        <v>105</v>
      </c>
      <c r="B20" s="21" t="n">
        <v>400</v>
      </c>
      <c r="C20" s="31" t="n">
        <v>29800</v>
      </c>
      <c r="D20" s="24" t="n">
        <f aca="false">B20*$B$11/1000000</f>
        <v>16</v>
      </c>
      <c r="E20" s="24" t="n">
        <f aca="false">B20*$B$12/1000000</f>
        <v>2</v>
      </c>
      <c r="F20" s="24" t="n">
        <f aca="false">C20*(1+$B$7)*$B$5*$B$6*$B$4/1000000</f>
        <v>4.00512</v>
      </c>
      <c r="G20" s="11" t="n">
        <f aca="false">(F20*((1-$B$8)^0/(1+$B$10)^1+(1-$B$8)^1/(1+$B$10)^2+(1-$B$8)^2/(1+$B$10)^3+(1-$B$8)^3/(1+$B$10)^4+(1-$B$8)^4/(1+$B$10)^5))-(E20*(1/(1+$B$10)^1+1/(1+$B$10)^2+1/(1+$B$10)^3+1/(1+$B$10)^4+1/(1+$B$10)^5))-D20</f>
        <v>-13.8020390227228</v>
      </c>
    </row>
    <row r="21" customFormat="false" ht="15" hidden="false" customHeight="false" outlineLevel="0" collapsed="false">
      <c r="A21" s="20" t="s">
        <v>106</v>
      </c>
      <c r="G21" s="32" t="n">
        <f aca="false">SUM(G18:G20)</f>
        <v>65.4161124932192</v>
      </c>
      <c r="H21" s="32" t="n">
        <f aca="false">G18+G19</f>
        <v>79.2181515159419</v>
      </c>
    </row>
    <row r="23" customFormat="false" ht="15" hidden="false" customHeight="false" outlineLevel="0" collapsed="false">
      <c r="A23" s="20" t="s">
        <v>107</v>
      </c>
    </row>
    <row r="24" customFormat="false" ht="26.85" hidden="false" customHeight="false" outlineLevel="0" collapsed="false">
      <c r="A24" s="9" t="s">
        <v>108</v>
      </c>
      <c r="B24" s="9" t="s">
        <v>109</v>
      </c>
      <c r="C24" s="9" t="s">
        <v>98</v>
      </c>
      <c r="D24" s="9" t="s">
        <v>99</v>
      </c>
      <c r="E24" s="9" t="s">
        <v>100</v>
      </c>
      <c r="F24" s="9" t="s">
        <v>101</v>
      </c>
    </row>
    <row r="25" customFormat="false" ht="15" hidden="false" customHeight="false" outlineLevel="0" collapsed="false">
      <c r="A25" s="21" t="n">
        <v>20</v>
      </c>
      <c r="B25" s="11" t="n">
        <f aca="false">C18*(1+$B$7)/261/B18</f>
        <v>7.45484400656815</v>
      </c>
      <c r="C25" s="24" t="n">
        <f aca="false">A25*$B$13/1000000</f>
        <v>0.3</v>
      </c>
      <c r="D25" s="24" t="n">
        <f aca="false">A25*$B$14/1000000</f>
        <v>1.2</v>
      </c>
      <c r="E25" s="24" t="n">
        <f aca="false">A25*B25*261*$B$5*$B$6*$B$4/1000000</f>
        <v>4.3584</v>
      </c>
      <c r="F25" s="11" t="n">
        <f aca="false">(E25*((1-$B$9)^0/(1+$B$10)^1+(1-$B$9)^1/(1+$B$10)^2+(1-$B$9)^2/(1+$B$10)^3+(1-$B$9)^3/(1+$B$10)^4+(1-$B$9)^4/(1+$B$10)^5))-(D25*(1/(1+$B$10)^1+1/(1+$B$10)^2+1/(1+$B$10)^3+1/(1+$B$10)^4+1/(1+$B$10)^5))-C25</f>
        <v>8.32337705367034</v>
      </c>
    </row>
    <row r="26" customFormat="false" ht="15" hidden="false" customHeight="false" outlineLevel="0" collapsed="false">
      <c r="A26" s="21" t="n">
        <v>30</v>
      </c>
      <c r="B26" s="11" t="n">
        <f aca="false">C18*(1+$B$7)/261/B18</f>
        <v>7.45484400656815</v>
      </c>
      <c r="C26" s="24" t="n">
        <f aca="false">A26*$B$13/1000000</f>
        <v>0.45</v>
      </c>
      <c r="D26" s="24" t="n">
        <f aca="false">A26*$B$14/1000000</f>
        <v>1.8</v>
      </c>
      <c r="E26" s="24" t="n">
        <f aca="false">A26*B26*261*$B$5*$B$6*$B$4/1000000</f>
        <v>6.5376</v>
      </c>
      <c r="F26" s="11" t="n">
        <f aca="false">(E26*((1-$B$9)^0/(1+$B$10)^1+(1-$B$9)^1/(1+$B$10)^2+(1-$B$9)^2/(1+$B$10)^3+(1-$B$9)^3/(1+$B$10)^4+(1-$B$9)^4/(1+$B$10)^5))-(D26*(1/(1+$B$10)^1+1/(1+$B$10)^2+1/(1+$B$10)^3+1/(1+$B$10)^4+1/(1+$B$10)^5))-C26</f>
        <v>12.4850655805055</v>
      </c>
    </row>
    <row r="27" customFormat="false" ht="15" hidden="false" customHeight="false" outlineLevel="0" collapsed="false">
      <c r="A27" s="21" t="n">
        <v>40</v>
      </c>
      <c r="B27" s="11" t="n">
        <f aca="false">C18*(1+$B$7)/261/B18</f>
        <v>7.45484400656815</v>
      </c>
      <c r="C27" s="24" t="n">
        <f aca="false">A27*$B$13/1000000</f>
        <v>0.6</v>
      </c>
      <c r="D27" s="24" t="n">
        <f aca="false">A27*$B$14/1000000</f>
        <v>2.4</v>
      </c>
      <c r="E27" s="24" t="n">
        <f aca="false">A27*B27*261*$B$5*$B$6*$B$4/1000000</f>
        <v>8.7168</v>
      </c>
      <c r="F27" s="11" t="n">
        <f aca="false">(E27*((1-$B$9)^0/(1+$B$10)^1+(1-$B$9)^1/(1+$B$10)^2+(1-$B$9)^2/(1+$B$10)^3+(1-$B$9)^3/(1+$B$10)^4+(1-$B$9)^4/(1+$B$10)^5))-(D27*(1/(1+$B$10)^1+1/(1+$B$10)^2+1/(1+$B$10)^3+1/(1+$B$10)^4+1/(1+$B$10)^5))-C27</f>
        <v>16.6467541073407</v>
      </c>
    </row>
    <row r="28" customFormat="false" ht="15" hidden="false" customHeight="false" outlineLevel="0" collapsed="false">
      <c r="A28" s="21" t="n">
        <v>50</v>
      </c>
      <c r="B28" s="11" t="n">
        <f aca="false">C18*(1+$B$7)/261/B18</f>
        <v>7.45484400656815</v>
      </c>
      <c r="C28" s="24" t="n">
        <f aca="false">A28*$B$13/1000000</f>
        <v>0.75</v>
      </c>
      <c r="D28" s="24" t="n">
        <f aca="false">A28*$B$14/1000000</f>
        <v>3</v>
      </c>
      <c r="E28" s="24" t="n">
        <f aca="false">A28*B28*261*$B$5*$B$6*$B$4/1000000</f>
        <v>10.896</v>
      </c>
      <c r="F28" s="11" t="n">
        <f aca="false">(E28*((1-$B$9)^0/(1+$B$10)^1+(1-$B$9)^1/(1+$B$10)^2+(1-$B$9)^2/(1+$B$10)^3+(1-$B$9)^3/(1+$B$10)^4+(1-$B$9)^4/(1+$B$10)^5))-(D28*(1/(1+$B$10)^1+1/(1+$B$10)^2+1/(1+$B$10)^3+1/(1+$B$10)^4+1/(1+$B$10)^5))-C28</f>
        <v>20.8084426341758</v>
      </c>
    </row>
    <row r="30" customFormat="false" ht="15" hidden="false" customHeight="false" outlineLevel="0" collapsed="false">
      <c r="A30" s="16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">
        <v>111</v>
      </c>
    </row>
    <row r="2" customFormat="false" ht="15" hidden="false" customHeight="false" outlineLevel="0" collapsed="false">
      <c r="A2" s="2" t="s">
        <v>112</v>
      </c>
    </row>
    <row r="4" customFormat="false" ht="15" hidden="false" customHeight="false" outlineLevel="0" collapsed="false">
      <c r="A4" s="17" t="s">
        <v>113</v>
      </c>
      <c r="B4" s="29" t="n">
        <v>2000</v>
      </c>
    </row>
    <row r="5" customFormat="false" ht="15" hidden="false" customHeight="false" outlineLevel="0" collapsed="false">
      <c r="A5" s="17" t="s">
        <v>114</v>
      </c>
      <c r="B5" s="29" t="n">
        <v>1200</v>
      </c>
    </row>
    <row r="6" customFormat="false" ht="15" hidden="false" customHeight="false" outlineLevel="0" collapsed="false">
      <c r="A6" s="17" t="s">
        <v>115</v>
      </c>
      <c r="B6" s="29" t="n">
        <v>1000</v>
      </c>
    </row>
    <row r="7" customFormat="false" ht="15" hidden="false" customHeight="false" outlineLevel="0" collapsed="false">
      <c r="A7" s="17" t="s">
        <v>116</v>
      </c>
      <c r="B7" s="29" t="n">
        <v>5</v>
      </c>
    </row>
    <row r="8" customFormat="false" ht="15" hidden="false" customHeight="false" outlineLevel="0" collapsed="false">
      <c r="A8" s="17" t="s">
        <v>117</v>
      </c>
      <c r="B8" s="30" t="n">
        <v>0.4</v>
      </c>
    </row>
    <row r="9" customFormat="false" ht="15" hidden="false" customHeight="false" outlineLevel="0" collapsed="false">
      <c r="A9" s="17" t="s">
        <v>118</v>
      </c>
      <c r="B9" s="30" t="n">
        <v>0.8</v>
      </c>
    </row>
    <row r="10" customFormat="false" ht="15" hidden="false" customHeight="false" outlineLevel="0" collapsed="false">
      <c r="A10" s="17" t="s">
        <v>119</v>
      </c>
      <c r="B10" s="30" t="n">
        <v>1</v>
      </c>
    </row>
    <row r="11" customFormat="false" ht="15" hidden="false" customHeight="false" outlineLevel="0" collapsed="false">
      <c r="A11" s="17" t="s">
        <v>120</v>
      </c>
      <c r="B11" s="29" t="n">
        <v>2000000</v>
      </c>
    </row>
    <row r="12" customFormat="false" ht="15" hidden="false" customHeight="false" outlineLevel="0" collapsed="false">
      <c r="A12" s="17" t="s">
        <v>121</v>
      </c>
      <c r="B12" s="29" t="n">
        <v>500000</v>
      </c>
    </row>
    <row r="13" customFormat="false" ht="15" hidden="false" customHeight="false" outlineLevel="0" collapsed="false">
      <c r="A13" s="17" t="s">
        <v>91</v>
      </c>
      <c r="B13" s="18" t="n">
        <f aca="false">ROI!B10</f>
        <v>0.07</v>
      </c>
    </row>
    <row r="15" customFormat="false" ht="15" hidden="false" customHeight="false" outlineLevel="0" collapsed="false">
      <c r="A15" s="20" t="s">
        <v>122</v>
      </c>
      <c r="B15" s="18" t="n">
        <f aca="false">B4*B5+B6*B7*365</f>
        <v>4225000</v>
      </c>
    </row>
    <row r="17" customFormat="false" ht="15" hidden="false" customHeight="false" outlineLevel="0" collapsed="false">
      <c r="A17" s="3" t="s">
        <v>123</v>
      </c>
      <c r="B17" s="3" t="s">
        <v>124</v>
      </c>
      <c r="C17" s="3" t="s">
        <v>125</v>
      </c>
      <c r="D17" s="3" t="s">
        <v>126</v>
      </c>
      <c r="E17" s="3" t="s">
        <v>127</v>
      </c>
      <c r="F17" s="3" t="s">
        <v>128</v>
      </c>
    </row>
    <row r="18" customFormat="false" ht="15" hidden="false" customHeight="false" outlineLevel="0" collapsed="false">
      <c r="A18" s="10" t="n">
        <v>1</v>
      </c>
      <c r="B18" s="33" t="n">
        <f aca="false">B8</f>
        <v>0.4</v>
      </c>
      <c r="C18" s="23" t="n">
        <f aca="false">$B$15*B18</f>
        <v>1690000</v>
      </c>
      <c r="D18" s="23" t="n">
        <f aca="false">$B$12</f>
        <v>500000</v>
      </c>
      <c r="E18" s="23" t="n">
        <f aca="false">C18-D18</f>
        <v>1190000</v>
      </c>
      <c r="F18" s="23" t="n">
        <f aca="false">E18/(1+$B$13)^A18</f>
        <v>1112149.53271028</v>
      </c>
    </row>
    <row r="19" customFormat="false" ht="15" hidden="false" customHeight="false" outlineLevel="0" collapsed="false">
      <c r="A19" s="10" t="n">
        <v>2</v>
      </c>
      <c r="B19" s="33" t="n">
        <f aca="false">B9</f>
        <v>0.8</v>
      </c>
      <c r="C19" s="23" t="n">
        <f aca="false">$B$15*B19</f>
        <v>3380000</v>
      </c>
      <c r="D19" s="23" t="n">
        <f aca="false">$B$12</f>
        <v>500000</v>
      </c>
      <c r="E19" s="23" t="n">
        <f aca="false">C19-D19</f>
        <v>2880000</v>
      </c>
      <c r="F19" s="23" t="n">
        <f aca="false">E19/(1+$B$13)^A19</f>
        <v>2515503.53742685</v>
      </c>
    </row>
    <row r="20" customFormat="false" ht="15" hidden="false" customHeight="false" outlineLevel="0" collapsed="false">
      <c r="A20" s="10" t="n">
        <v>3</v>
      </c>
      <c r="B20" s="33" t="n">
        <f aca="false">B10</f>
        <v>1</v>
      </c>
      <c r="C20" s="23" t="n">
        <f aca="false">$B$15*B20</f>
        <v>4225000</v>
      </c>
      <c r="D20" s="23" t="n">
        <f aca="false">$B$12</f>
        <v>500000</v>
      </c>
      <c r="E20" s="23" t="n">
        <f aca="false">C20-D20</f>
        <v>3725000</v>
      </c>
      <c r="F20" s="23" t="n">
        <f aca="false">E20/(1+$B$13)^A20</f>
        <v>3040709.59141842</v>
      </c>
    </row>
    <row r="21" customFormat="false" ht="15" hidden="false" customHeight="false" outlineLevel="0" collapsed="false">
      <c r="A21" s="10" t="n">
        <v>4</v>
      </c>
      <c r="B21" s="33" t="n">
        <f aca="false">B10</f>
        <v>1</v>
      </c>
      <c r="C21" s="23" t="n">
        <f aca="false">$B$15*B21</f>
        <v>4225000</v>
      </c>
      <c r="D21" s="23" t="n">
        <f aca="false">$B$12</f>
        <v>500000</v>
      </c>
      <c r="E21" s="23" t="n">
        <f aca="false">C21-D21</f>
        <v>3725000</v>
      </c>
      <c r="F21" s="23" t="n">
        <f aca="false">E21/(1+$B$13)^A21</f>
        <v>2841784.66487703</v>
      </c>
    </row>
    <row r="22" customFormat="false" ht="15" hidden="false" customHeight="false" outlineLevel="0" collapsed="false">
      <c r="A22" s="10" t="n">
        <v>5</v>
      </c>
      <c r="B22" s="33" t="n">
        <f aca="false">B10</f>
        <v>1</v>
      </c>
      <c r="C22" s="23" t="n">
        <f aca="false">$B$15*B22</f>
        <v>4225000</v>
      </c>
      <c r="D22" s="23" t="n">
        <f aca="false">$B$12</f>
        <v>500000</v>
      </c>
      <c r="E22" s="23" t="n">
        <f aca="false">C22-D22</f>
        <v>3725000</v>
      </c>
      <c r="F22" s="23" t="n">
        <f aca="false">E22/(1+$B$13)^A22</f>
        <v>2655873.51857666</v>
      </c>
    </row>
    <row r="23" customFormat="false" ht="15" hidden="false" customHeight="false" outlineLevel="0" collapsed="false">
      <c r="A23" s="20" t="s">
        <v>129</v>
      </c>
      <c r="F23" s="34" t="n">
        <f aca="false">SUM(F18:F22)-B11</f>
        <v>10166020.8450092</v>
      </c>
    </row>
    <row r="25" customFormat="false" ht="15" hidden="false" customHeight="false" outlineLevel="0" collapsed="false">
      <c r="A25" s="16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2026-08-02T20:23:38Z</dcterms:created>
  <dc:creator>openpyxl</dc:creator>
  <dc:description/>
  <dc:language>en-US</dc:language>
  <cp:lastModifiedBy/>
  <dcterms:modified xsi:type="dcterms:W3CDTF">2026-08-02T20:23:38Z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